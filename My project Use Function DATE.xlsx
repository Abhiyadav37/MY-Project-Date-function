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\Documents\"/>
    </mc:Choice>
  </mc:AlternateContent>
  <xr:revisionPtr revIDLastSave="0" documentId="13_ncr:1_{B7AA86A9-44A9-4615-B6DB-D38CB0FA5EB0}" xr6:coauthVersionLast="47" xr6:coauthVersionMax="47" xr10:uidLastSave="{00000000-0000-0000-0000-000000000000}"/>
  <bookViews>
    <workbookView xWindow="-108" yWindow="-108" windowWidth="23256" windowHeight="12456" xr2:uid="{EB19EFA8-A96B-41A3-A53D-F7038240B524}"/>
  </bookViews>
  <sheets>
    <sheet name="Raw_data" sheetId="1" r:id="rId1"/>
    <sheet name="Date_ Analysis" sheetId="2" r:id="rId2"/>
    <sheet name="Date_ Calculations" sheetId="3" r:id="rId3"/>
    <sheet name="Summary" sheetId="5" r:id="rId4"/>
    <sheet name="Last" sheetId="6" r:id="rId5"/>
  </sheets>
  <definedNames>
    <definedName name="_xlchart.v1.0" hidden="1">'Date_ Analysis'!$A$3:$H$14</definedName>
    <definedName name="_xlchart.v1.1" hidden="1">'Date_ Analysis'!$I$2</definedName>
    <definedName name="_xlchart.v1.10" hidden="1">'Date_ Calculations'!$M$2</definedName>
    <definedName name="_xlchart.v1.11" hidden="1">'Date_ Calculations'!$M$3:$M$14</definedName>
    <definedName name="_xlchart.v1.12" hidden="1">'Date_ Calculations'!$A$3:$I$14</definedName>
    <definedName name="_xlchart.v1.13" hidden="1">'Date_ Calculations'!$J$2</definedName>
    <definedName name="_xlchart.v1.14" hidden="1">'Date_ Calculations'!$J$3:$J$14</definedName>
    <definedName name="_xlchart.v1.15" hidden="1">'Date_ Calculations'!$K$2</definedName>
    <definedName name="_xlchart.v1.16" hidden="1">'Date_ Calculations'!$K$3:$K$14</definedName>
    <definedName name="_xlchart.v1.17" hidden="1">'Date_ Calculations'!$L$2</definedName>
    <definedName name="_xlchart.v1.18" hidden="1">'Date_ Calculations'!$L$3:$L$14</definedName>
    <definedName name="_xlchart.v1.19" hidden="1">'Date_ Calculations'!$M$2</definedName>
    <definedName name="_xlchart.v1.2" hidden="1">'Date_ Analysis'!$I$3:$I$14</definedName>
    <definedName name="_xlchart.v1.20" hidden="1">'Date_ Calculations'!$M$3:$M$14</definedName>
    <definedName name="_xlchart.v1.3" hidden="1">'Date_ Calculations'!$A$3:$I$14</definedName>
    <definedName name="_xlchart.v1.4" hidden="1">'Date_ Calculations'!$J$2</definedName>
    <definedName name="_xlchart.v1.5" hidden="1">'Date_ Calculations'!$J$3:$J$14</definedName>
    <definedName name="_xlchart.v1.6" hidden="1">'Date_ Calculations'!$K$2</definedName>
    <definedName name="_xlchart.v1.7" hidden="1">'Date_ Calculations'!$K$3:$K$14</definedName>
    <definedName name="_xlchart.v1.8" hidden="1">'Date_ Calculations'!$L$2</definedName>
    <definedName name="_xlchart.v1.9" hidden="1">'Date_ Calculations'!$L$3:$L$14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5" l="1"/>
  <c r="L6" i="5"/>
  <c r="L5" i="5"/>
  <c r="L4" i="5"/>
  <c r="H7" i="5"/>
  <c r="H6" i="5"/>
  <c r="H5" i="5"/>
  <c r="H4" i="5"/>
  <c r="M4" i="3"/>
  <c r="M5" i="3"/>
  <c r="M6" i="3"/>
  <c r="M7" i="3"/>
  <c r="M8" i="3"/>
  <c r="M9" i="3"/>
  <c r="M10" i="3"/>
  <c r="M11" i="3"/>
  <c r="M12" i="3"/>
  <c r="M13" i="3"/>
  <c r="M14" i="3"/>
  <c r="M3" i="3"/>
  <c r="L4" i="3"/>
  <c r="L5" i="3"/>
  <c r="L6" i="3"/>
  <c r="L7" i="3"/>
  <c r="L8" i="3"/>
  <c r="L9" i="3"/>
  <c r="L10" i="3"/>
  <c r="L11" i="3"/>
  <c r="L12" i="3"/>
  <c r="L13" i="3"/>
  <c r="L14" i="3"/>
  <c r="L3" i="3"/>
  <c r="K4" i="3"/>
  <c r="K5" i="3"/>
  <c r="K6" i="3"/>
  <c r="K7" i="3"/>
  <c r="K8" i="3"/>
  <c r="K9" i="3"/>
  <c r="K10" i="3"/>
  <c r="K11" i="3"/>
  <c r="K12" i="3"/>
  <c r="K13" i="3"/>
  <c r="K14" i="3"/>
  <c r="K3" i="3"/>
  <c r="C7" i="5" s="1"/>
  <c r="J4" i="3"/>
  <c r="J5" i="3"/>
  <c r="J6" i="3"/>
  <c r="J7" i="3"/>
  <c r="J8" i="3"/>
  <c r="J9" i="3"/>
  <c r="J10" i="3"/>
  <c r="J11" i="3"/>
  <c r="J12" i="3"/>
  <c r="J13" i="3"/>
  <c r="J14" i="3"/>
  <c r="J3" i="3"/>
  <c r="L8" i="5" s="1"/>
  <c r="D3" i="3"/>
  <c r="F3" i="3" s="1"/>
  <c r="D4" i="3"/>
  <c r="E4" i="3" s="1"/>
  <c r="D5" i="3"/>
  <c r="E5" i="3" s="1"/>
  <c r="D6" i="3"/>
  <c r="F6" i="3" s="1"/>
  <c r="D7" i="3"/>
  <c r="F7" i="3" s="1"/>
  <c r="D8" i="3"/>
  <c r="F8" i="3" s="1"/>
  <c r="D9" i="3"/>
  <c r="F9" i="3" s="1"/>
  <c r="D10" i="3"/>
  <c r="E10" i="3" s="1"/>
  <c r="D11" i="3"/>
  <c r="E11" i="3" s="1"/>
  <c r="D12" i="3"/>
  <c r="F12" i="3" s="1"/>
  <c r="D13" i="3"/>
  <c r="F13" i="3" s="1"/>
  <c r="D14" i="3"/>
  <c r="F14" i="3" s="1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G4" i="2"/>
  <c r="G5" i="2"/>
  <c r="G6" i="2"/>
  <c r="G7" i="2"/>
  <c r="G8" i="2"/>
  <c r="G9" i="2"/>
  <c r="G10" i="2"/>
  <c r="G11" i="2"/>
  <c r="G12" i="2"/>
  <c r="G13" i="2"/>
  <c r="G14" i="2"/>
  <c r="G3" i="2"/>
  <c r="F4" i="2"/>
  <c r="F5" i="2"/>
  <c r="F6" i="2"/>
  <c r="F7" i="2"/>
  <c r="F8" i="2"/>
  <c r="F9" i="2"/>
  <c r="F10" i="2"/>
  <c r="F11" i="2"/>
  <c r="F12" i="2"/>
  <c r="F13" i="2"/>
  <c r="F14" i="2"/>
  <c r="F3" i="2"/>
  <c r="E4" i="2"/>
  <c r="E5" i="2"/>
  <c r="E6" i="2"/>
  <c r="E7" i="2"/>
  <c r="E8" i="2"/>
  <c r="E9" i="2"/>
  <c r="E10" i="2"/>
  <c r="E11" i="2"/>
  <c r="E12" i="2"/>
  <c r="E13" i="2"/>
  <c r="E14" i="2"/>
  <c r="E3" i="2"/>
  <c r="D4" i="2"/>
  <c r="D5" i="2"/>
  <c r="D6" i="2"/>
  <c r="D7" i="2"/>
  <c r="D8" i="2"/>
  <c r="D9" i="2"/>
  <c r="D10" i="2"/>
  <c r="D11" i="2"/>
  <c r="D12" i="2"/>
  <c r="D13" i="2"/>
  <c r="D14" i="2"/>
  <c r="D3" i="2"/>
  <c r="L7" i="5" l="1"/>
  <c r="L9" i="5"/>
  <c r="E13" i="3"/>
  <c r="E14" i="3"/>
  <c r="E9" i="3"/>
  <c r="G8" i="3"/>
  <c r="E8" i="3"/>
  <c r="E6" i="3"/>
  <c r="G10" i="3"/>
  <c r="F5" i="3"/>
  <c r="G11" i="3"/>
  <c r="F10" i="3"/>
  <c r="E12" i="3"/>
  <c r="G5" i="3"/>
  <c r="E7" i="3"/>
  <c r="G4" i="3"/>
  <c r="F4" i="3"/>
  <c r="G13" i="3"/>
  <c r="F11" i="3"/>
  <c r="G14" i="3"/>
  <c r="G7" i="3"/>
  <c r="E3" i="3"/>
  <c r="G12" i="3"/>
  <c r="G9" i="3"/>
  <c r="G6" i="3"/>
  <c r="G3" i="3"/>
  <c r="C5" i="5" l="1"/>
  <c r="C6" i="5"/>
  <c r="C4" i="5"/>
</calcChain>
</file>

<file path=xl/sharedStrings.xml><?xml version="1.0" encoding="utf-8"?>
<sst xmlns="http://schemas.openxmlformats.org/spreadsheetml/2006/main" count="144" uniqueCount="85">
  <si>
    <t>ID</t>
  </si>
  <si>
    <t>Employee Name</t>
  </si>
  <si>
    <t>Joining Date</t>
  </si>
  <si>
    <t>Birth Date</t>
  </si>
  <si>
    <t>Project Start Date</t>
  </si>
  <si>
    <t>Project End Date</t>
  </si>
  <si>
    <t>E001</t>
  </si>
  <si>
    <t>Rahul Sharma</t>
  </si>
  <si>
    <t>E002</t>
  </si>
  <si>
    <t>Priya Patel</t>
  </si>
  <si>
    <t>E003</t>
  </si>
  <si>
    <t>Amit Kumar</t>
  </si>
  <si>
    <t>E004</t>
  </si>
  <si>
    <t>Neha Singh</t>
  </si>
  <si>
    <t>E005</t>
  </si>
  <si>
    <t>Rohit Verma</t>
  </si>
  <si>
    <t>E006</t>
  </si>
  <si>
    <t>Sneha Joshi</t>
  </si>
  <si>
    <t>E007</t>
  </si>
  <si>
    <t>Arjun Mehta</t>
  </si>
  <si>
    <t>E008</t>
  </si>
  <si>
    <t>Pooja Shah</t>
  </si>
  <si>
    <t>E009</t>
  </si>
  <si>
    <t>Karan Gupta</t>
  </si>
  <si>
    <t>E010</t>
  </si>
  <si>
    <t>Anjali Rao</t>
  </si>
  <si>
    <t>E011</t>
  </si>
  <si>
    <t>Vivek Yadav</t>
  </si>
  <si>
    <t>E012</t>
  </si>
  <si>
    <t>Riya Kapoor</t>
  </si>
  <si>
    <t>Day</t>
  </si>
  <si>
    <t>Month</t>
  </si>
  <si>
    <t>Day Name</t>
  </si>
  <si>
    <t>year</t>
  </si>
  <si>
    <t>Month name</t>
  </si>
  <si>
    <t>Week Number</t>
  </si>
  <si>
    <t>Today</t>
  </si>
  <si>
    <t>Experience Years</t>
  </si>
  <si>
    <t>Experience Months</t>
  </si>
  <si>
    <t>Experience Days</t>
  </si>
  <si>
    <t>Project Start</t>
  </si>
  <si>
    <t>Project End</t>
  </si>
  <si>
    <t>Project Days</t>
  </si>
  <si>
    <t>Working Days</t>
  </si>
  <si>
    <t>6 Months After Joining</t>
  </si>
  <si>
    <t>Month End</t>
  </si>
  <si>
    <t>Employee Overview</t>
  </si>
  <si>
    <t>Metric</t>
  </si>
  <si>
    <t>Result</t>
  </si>
  <si>
    <t>Total Employees</t>
  </si>
  <si>
    <t>Earliest Joining Date</t>
  </si>
  <si>
    <t>Latest Joining Date</t>
  </si>
  <si>
    <t>Earliest Birth Date</t>
  </si>
  <si>
    <t>Latest Birth Date</t>
  </si>
  <si>
    <t>Project Overview</t>
  </si>
  <si>
    <t>Total Projects</t>
  </si>
  <si>
    <t>Earliest Project Start</t>
  </si>
  <si>
    <t>Latest Project End</t>
  </si>
  <si>
    <t>Average Project Duration</t>
  </si>
  <si>
    <t>Total Project Days</t>
  </si>
  <si>
    <t>Total Working Days</t>
  </si>
  <si>
    <t>Joining Month Analysis</t>
  </si>
  <si>
    <t>Employee Count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</si>
  <si>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</si>
  <si>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</si>
  <si>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</si>
  <si>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</si>
  <si>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</si>
  <si>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</si>
  <si>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</si>
  <si>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</si>
  <si>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</si>
  <si>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</si>
  <si>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</si>
  <si>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</si>
  <si>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</si>
  <si>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Experience Analysis</t>
  </si>
  <si>
    <t>Average Experience</t>
  </si>
  <si>
    <t>Maximum Experience</t>
  </si>
  <si>
    <t>Minimum Experience</t>
  </si>
  <si>
    <t>Average Working Days</t>
  </si>
  <si>
    <t>Raw_data</t>
  </si>
  <si>
    <t>Date_ Analysis</t>
  </si>
  <si>
    <t>Date_ Calculations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</si>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</sst>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/>
    <xf numFmtId="16" fontId="0" fillId="0" borderId="0" xfId="0" applyNumberFormat="1"/>
    <xf numFmtId="0" fontId="2" fillId="0" borderId="0" xfId="0" applyFont="1"/>
    <xf numFmtId="15" fontId="0" fillId="0" borderId="0" xfId="0" applyNumberFormat="1"/>
    <xf numFmtId="0" fontId="4" fillId="0" borderId="0" xfId="0" applyFont="1"/>
  </cellXfs>
  <cellStyles count="1">
    <cellStyle name="Normal" xfId="0" builtinId="0"/>
  </cellStyles>
  <dxfs count="3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numFmt numFmtId="19" formatCode="m/d/yyyy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Experience Analysis </a:t>
            </a:r>
            <a:endParaRPr lang="en-US" sz="16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54492872692606"/>
          <c:y val="0.16962284193755697"/>
          <c:w val="0.77262482824860268"/>
          <c:h val="0.8000146040947786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Summary!$C$3</c:f>
              <c:strCache>
                <c:ptCount val="1"/>
                <c:pt idx="0">
                  <c:v>Result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Summary!$B$4:$B$7</c:f>
              <c:strCache>
                <c:ptCount val="4"/>
                <c:pt idx="0">
                  <c:v>Average Experience</c:v>
                </c:pt>
                <c:pt idx="1">
                  <c:v>Maximum Experience</c:v>
                </c:pt>
                <c:pt idx="2">
                  <c:v>Minimum Experience</c:v>
                </c:pt>
                <c:pt idx="3">
                  <c:v>Average Working Days</c:v>
                </c:pt>
              </c:strCache>
            </c:strRef>
          </c:xVal>
          <c:yVal>
            <c:numRef>
              <c:f>Summary!$C$4:$C$7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44595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A2-4B46-8549-AF890300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84959"/>
        <c:axId val="1184908399"/>
      </c:scatterChart>
      <c:valAx>
        <c:axId val="135728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908399"/>
        <c:crosses val="autoZero"/>
        <c:crossBetween val="midCat"/>
      </c:valAx>
      <c:valAx>
        <c:axId val="1184908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8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Employee Overview 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Summary!$H$3</c:f>
              <c:strCache>
                <c:ptCount val="1"/>
                <c:pt idx="0">
                  <c:v>Result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Summary!$G$4:$G$8</c:f>
              <c:strCache>
                <c:ptCount val="5"/>
                <c:pt idx="0">
                  <c:v>Total Employees</c:v>
                </c:pt>
                <c:pt idx="1">
                  <c:v>Earliest Joining Date</c:v>
                </c:pt>
                <c:pt idx="2">
                  <c:v>Latest Joining Date</c:v>
                </c:pt>
                <c:pt idx="3">
                  <c:v>Earliest Birth Date</c:v>
                </c:pt>
                <c:pt idx="4">
                  <c:v>Latest Birth Date</c:v>
                </c:pt>
              </c:strCache>
            </c:strRef>
          </c:xVal>
          <c:yVal>
            <c:numRef>
              <c:f>Summary!$H$4:$H$8</c:f>
              <c:numCache>
                <c:formatCode>d\-mmm\-yy</c:formatCode>
                <c:ptCount val="5"/>
                <c:pt idx="0" formatCode="General">
                  <c:v>12</c:v>
                </c:pt>
                <c:pt idx="1">
                  <c:v>44576</c:v>
                </c:pt>
                <c:pt idx="2">
                  <c:v>44587</c:v>
                </c:pt>
                <c:pt idx="3">
                  <c:v>35829</c:v>
                </c:pt>
                <c:pt idx="4">
                  <c:v>37479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9A-4389-99BE-87606DEF1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363375"/>
        <c:axId val="1184938639"/>
      </c:scatterChart>
      <c:valAx>
        <c:axId val="135736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938639"/>
        <c:crosses val="autoZero"/>
        <c:crossBetween val="midCat"/>
      </c:valAx>
      <c:valAx>
        <c:axId val="118493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6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Project Overview 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Summary!$L$3</c:f>
              <c:strCache>
                <c:ptCount val="1"/>
                <c:pt idx="0">
                  <c:v>Result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Summary!$K$4:$K$9</c:f>
              <c:strCache>
                <c:ptCount val="6"/>
                <c:pt idx="0">
                  <c:v>Total Projects</c:v>
                </c:pt>
                <c:pt idx="1">
                  <c:v>Earliest Project Start</c:v>
                </c:pt>
                <c:pt idx="2">
                  <c:v>Latest Project End</c:v>
                </c:pt>
                <c:pt idx="3">
                  <c:v>Average Project Duration</c:v>
                </c:pt>
                <c:pt idx="4">
                  <c:v>Total Project Days</c:v>
                </c:pt>
                <c:pt idx="5">
                  <c:v>Total Working Days</c:v>
                </c:pt>
              </c:strCache>
            </c:strRef>
          </c:xVal>
          <c:yVal>
            <c:numRef>
              <c:f>Summary!$L$4:$L$9</c:f>
              <c:numCache>
                <c:formatCode>d\-mmm\-yy</c:formatCode>
                <c:ptCount val="6"/>
                <c:pt idx="0" formatCode="General">
                  <c:v>12</c:v>
                </c:pt>
                <c:pt idx="1">
                  <c:v>46023</c:v>
                </c:pt>
                <c:pt idx="2">
                  <c:v>46310</c:v>
                </c:pt>
                <c:pt idx="3" formatCode="General">
                  <c:v>80.666666666666671</c:v>
                </c:pt>
                <c:pt idx="4" formatCode="General">
                  <c:v>968</c:v>
                </c:pt>
                <c:pt idx="5" formatCode="General">
                  <c:v>535140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9-440A-8FF8-174E47FF9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345279"/>
        <c:axId val="1184960239"/>
      </c:scatterChart>
      <c:valAx>
        <c:axId val="135734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960239"/>
        <c:crosses val="autoZero"/>
        <c:crossBetween val="midCat"/>
      </c:valAx>
      <c:valAx>
        <c:axId val="118496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4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Joining Month Analysis</a:t>
            </a:r>
            <a:r>
              <a:rPr lang="en-IN" sz="1600" b="0" i="0" u="none" strike="noStrike" baseline="0">
                <a:effectLst/>
              </a:rPr>
              <a:t> 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Summary!$O$3</c:f>
              <c:strCache>
                <c:ptCount val="1"/>
                <c:pt idx="0">
                  <c:v>Employee 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Summary!$N$4:$N$16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Total</c:v>
                </c:pt>
              </c:strCache>
            </c:strRef>
          </c:xVal>
          <c:yVal>
            <c:numRef>
              <c:f>Summary!$O$4:$O$16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23-48F3-BE6C-CF3AC5EB2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60367"/>
        <c:axId val="1184936239"/>
      </c:scatterChart>
      <c:valAx>
        <c:axId val="135726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Employee Count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936239"/>
        <c:crosses val="autoZero"/>
        <c:crossBetween val="midCat"/>
      </c:valAx>
      <c:valAx>
        <c:axId val="118493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Month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6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Date_ Analysis</a:t>
            </a:r>
            <a:r>
              <a:rPr lang="en-IN">
                <a:effectLst/>
              </a:rPr>
              <a:t>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00000000-296F-47A4-9015-C7F2C9D0EDFC}">
          <cx:tx>
            <cx:txData>
              <cx:f>_xlchart.v1.1</cx:f>
              <cx:v>Week Number</cx:v>
            </cx:txData>
          </cx:tx>
          <cx:dataLabels pos="outEnd">
            <cx:visibility seriesName="0" categoryName="0" value="1"/>
          </cx:dataLabels>
          <cx:dataId val="0"/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  <cx:data id="1">
      <cx:strDim type="cat">
        <cx:f>_xlchart.v1.3</cx:f>
      </cx:strDim>
      <cx:numDim type="val">
        <cx:f>_xlchart.v1.7</cx:f>
      </cx:numDim>
    </cx:data>
    <cx:data id="2">
      <cx:strDim type="cat">
        <cx:f>_xlchart.v1.3</cx:f>
      </cx:strDim>
      <cx:numDim type="val">
        <cx:f>_xlchart.v1.9</cx:f>
      </cx:numDim>
    </cx:data>
    <cx:data id="3">
      <cx:strDim type="cat">
        <cx:f>_xlchart.v1.3</cx:f>
      </cx:strDim>
      <cx:numDim type="val">
        <cx:f>_xlchart.v1.11</cx:f>
      </cx:numDim>
    </cx:data>
  </cx:chartData>
  <cx:chart>
    <cx:title pos="t" align="ctr" overlay="0">
      <cx:tx>
        <cx:txData>
          <cx:v>Date_ Calculations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solidFill>
                  <a:schemeClr val="accent1"/>
                </a:solidFill>
              </a:ln>
            </a:defRPr>
          </a:pPr>
          <a:r>
            <a:rPr lang="en-US" sz="1400" b="1" i="0" u="none" strike="noStrike" baseline="0">
              <a:ln>
                <a:solidFill>
                  <a:schemeClr val="accent1"/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Date_ Calculations</a:t>
          </a:r>
        </a:p>
      </cx:txPr>
    </cx:title>
    <cx:plotArea>
      <cx:plotAreaRegion>
        <cx:series layoutId="waterfall" uniqueId="{00000000-C19B-44B7-9418-F4B49BC43A10}" formatIdx="0">
          <cx:tx>
            <cx:txData>
              <cx:f>_xlchart.v1.4</cx:f>
              <cx:v>Project Days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ln>
                      <a:solidFill>
                        <a:schemeClr val="accent1"/>
                      </a:solidFill>
                    </a:ln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>
                  <a:ln>
                    <a:solidFill>
                      <a:schemeClr val="accent1"/>
                    </a:solidFill>
                  </a:ln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C19B-44B7-9418-F4B49BC43A10}" formatIdx="1">
          <cx:tx>
            <cx:txData>
              <cx:f>_xlchart.v1.6</cx:f>
              <cx:v>Working Days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ln>
                      <a:solidFill>
                        <a:schemeClr val="accent1"/>
                      </a:solidFill>
                    </a:ln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>
                  <a:ln>
                    <a:solidFill>
                      <a:schemeClr val="accent1"/>
                    </a:solidFill>
                  </a:ln>
                </a:endParaRPr>
              </a:p>
            </cx:txPr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00000002-C19B-44B7-9418-F4B49BC43A10}" formatIdx="2">
          <cx:tx>
            <cx:txData>
              <cx:f>_xlchart.v1.8</cx:f>
              <cx:v>6 Months After Joining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ln>
                      <a:solidFill>
                        <a:schemeClr val="accent1"/>
                      </a:solidFill>
                    </a:ln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>
                  <a:ln>
                    <a:solidFill>
                      <a:schemeClr val="accent1"/>
                    </a:solidFill>
                  </a:ln>
                </a:endParaRPr>
              </a:p>
            </cx:txPr>
            <cx:visibility seriesName="0" categoryName="0" value="1"/>
          </cx:dataLabels>
          <cx:dataId val="2"/>
          <cx:layoutPr>
            <cx:subtotals/>
          </cx:layoutPr>
        </cx:series>
        <cx:series layoutId="waterfall" hidden="1" uniqueId="{00000003-C19B-44B7-9418-F4B49BC43A10}" formatIdx="3">
          <cx:tx>
            <cx:txData>
              <cx:f>_xlchart.v1.10</cx:f>
              <cx:v>Month End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ln>
                      <a:solidFill>
                        <a:schemeClr val="accent1"/>
                      </a:solidFill>
                    </a:ln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>
                  <a:ln>
                    <a:solidFill>
                      <a:schemeClr val="accent1"/>
                    </a:solidFill>
                  </a:ln>
                </a:endParaRPr>
              </a:p>
            </cx:txPr>
            <cx:visibility seriesName="0" categoryName="0" value="1"/>
          </cx:dataLabels>
          <cx:dataId val="3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solidFill>
                    <a:schemeClr val="accent1"/>
                  </a:solidFill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ln>
                <a:solidFill>
                  <a:schemeClr val="accent1"/>
                </a:solidFill>
              </a:ln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solidFill>
                    <a:schemeClr val="accent1"/>
                  </a:solidFill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ln>
                <a:solidFill>
                  <a:schemeClr val="accent1"/>
                </a:solidFill>
              </a:ln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ln>
                <a:solidFill>
                  <a:schemeClr val="accent1"/>
                </a:solidFill>
              </a:ln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IN">
            <a:ln>
              <a:solidFill>
                <a:schemeClr val="accent1"/>
              </a:solidFill>
            </a:ln>
          </a:endParaRPr>
        </a:p>
      </cx:txPr>
    </cx:legend>
  </cx:chart>
  <cx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27000">
          <a:schemeClr val="accent1">
            <a:lumMod val="45000"/>
            <a:lumOff val="55000"/>
            <a:alpha val="99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464634</xdr:colOff>
      <xdr:row>1</xdr:row>
      <xdr:rowOff>92926</xdr:rowOff>
    </xdr:from>
    <xdr:to>
      <xdr:col>20</xdr:col>
      <xdr:colOff>594731</xdr:colOff>
      <xdr:row>11</xdr:row>
      <xdr:rowOff>270415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4490CE2-F9AC-9AB0-EBE6-A17850ED03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8561" y="436755"/>
              <a:ext cx="6263268" cy="38016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360589</xdr:colOff>
      <xdr:row>1</xdr:row>
      <xdr:rowOff>438150</xdr:rowOff>
    </xdr:from>
    <xdr:to>
      <xdr:col>27</xdr:col>
      <xdr:colOff>544285</xdr:colOff>
      <xdr:row>13</xdr:row>
      <xdr:rowOff>149679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116DEFF-A323-DCD5-ACB0-7E92BE09F9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48089" y="710293"/>
              <a:ext cx="7531553" cy="39161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168234</xdr:colOff>
      <xdr:row>7</xdr:row>
      <xdr:rowOff>271153</xdr:rowOff>
    </xdr:from>
    <xdr:to>
      <xdr:col>3</xdr:col>
      <xdr:colOff>217715</xdr:colOff>
      <xdr:row>19</xdr:row>
      <xdr:rowOff>128649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B4A418-D195-6748-A464-91833924E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593766</xdr:colOff>
      <xdr:row>8</xdr:row>
      <xdr:rowOff>211778</xdr:rowOff>
    </xdr:from>
    <xdr:to>
      <xdr:col>8</xdr:col>
      <xdr:colOff>197923</xdr:colOff>
      <xdr:row>16</xdr:row>
      <xdr:rowOff>138545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137A1-047A-A856-8FF9-AF1659721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9897</xdr:colOff>
      <xdr:row>9</xdr:row>
      <xdr:rowOff>162296</xdr:rowOff>
    </xdr:from>
    <xdr:to>
      <xdr:col>12</xdr:col>
      <xdr:colOff>188027</xdr:colOff>
      <xdr:row>22</xdr:row>
      <xdr:rowOff>59376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7A57A6-2119-AD58-5FB3-7F08F34FE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385948</xdr:colOff>
      <xdr:row>2</xdr:row>
      <xdr:rowOff>132608</xdr:rowOff>
    </xdr:from>
    <xdr:to>
      <xdr:col>20</xdr:col>
      <xdr:colOff>138545</xdr:colOff>
      <xdr:row>9</xdr:row>
      <xdr:rowOff>104899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68C947-2AF0-12C4-99CE-68D429084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7527D9-5185-4AE5-8CC3-0DD3B2951038}" name="Table4" displayName="Table4" ref="A2:F14" totalsRowShown="0" headerRowDxfId="26" dataDxfId="27">
  <autoFilter ref="A2:F14" xr:uid="{2A7527D9-5185-4AE5-8CC3-0DD3B2951038}"/>
  <tableColumns count="6">
    <tableColumn id="1" xr3:uid="{37F392C6-BC4D-46D3-B55E-FCB7705832BB}" name="ID" dataDxfId="33"/>
    <tableColumn id="2" xr3:uid="{83F8DF94-E931-4F2A-A8A3-44C79E9C066F}" name="Employee Name" dataDxfId="32"/>
    <tableColumn id="3" xr3:uid="{E9CDF1B8-DB08-43AA-8922-A75F36074D22}" name="Joining Date" dataDxfId="31"/>
    <tableColumn id="4" xr3:uid="{B1988A34-42A4-41E8-8468-95A76161A3B5}" name="Birth Date" dataDxfId="30"/>
    <tableColumn id="5" xr3:uid="{334CEEFF-2964-44CC-83F2-5CAA9DDB4A73}" name="Project Start Date" dataDxfId="29"/>
    <tableColumn id="6" xr3:uid="{95FDBEA2-1064-4009-9D45-0685FFB54DC9}" name="Project End Date" dataDxfId="2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A5C5F5-2121-477E-8B92-C7C7304274C1}" name="Table5" displayName="Table5" ref="A2:I14" totalsRowShown="0" headerRowDxfId="22">
  <autoFilter ref="A2:I14" xr:uid="{F9A5C5F5-2121-477E-8B92-C7C7304274C1}"/>
  <tableColumns count="9">
    <tableColumn id="1" xr3:uid="{DECA5E02-E244-4FAC-9682-08BE60DACD92}" name="ID" dataDxfId="25"/>
    <tableColumn id="2" xr3:uid="{1A840631-7A52-4C1D-8DC2-302834DED597}" name="Employee Name" dataDxfId="24"/>
    <tableColumn id="3" xr3:uid="{45FD23BA-2B5B-4DDF-A8E2-3A99F6735378}" name="Joining Date" dataDxfId="23"/>
    <tableColumn id="4" xr3:uid="{69014730-3181-45CF-9D0B-01DFC84E9494}" name="Day">
      <calculatedColumnFormula>DAY(C3)</calculatedColumnFormula>
    </tableColumn>
    <tableColumn id="5" xr3:uid="{2EEE58A2-5C7A-492F-9F83-288E177755FC}" name="Month">
      <calculatedColumnFormula>MONTH(C3)</calculatedColumnFormula>
    </tableColumn>
    <tableColumn id="6" xr3:uid="{764019C8-B3D3-4888-977E-AB4CD6532954}" name="year">
      <calculatedColumnFormula>YEAR(C3)</calculatedColumnFormula>
    </tableColumn>
    <tableColumn id="7" xr3:uid="{A74C9D5A-B4CA-48A9-87A9-52A6ED1FE2A2}" name="Month name">
      <calculatedColumnFormula>TEXT(C3,"mmmm")</calculatedColumnFormula>
    </tableColumn>
    <tableColumn id="8" xr3:uid="{B0567722-4BCF-4076-A3B2-BA0FA3511E53}" name="Day Name">
      <calculatedColumnFormula>TEXT(C3,"dddd")</calculatedColumnFormula>
    </tableColumn>
    <tableColumn id="9" xr3:uid="{65959F2C-711C-4F24-BD3B-19C798C5FDF5}" name="Week Number">
      <calculatedColumnFormula>WEEKNUM(C3)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F1CA31-94ED-421E-BFAD-2CBAAD420951}" name="Table6" displayName="Table6" ref="A2:M14" totalsRowShown="0" headerRowDxfId="15">
  <autoFilter ref="A2:M14" xr:uid="{6CF1CA31-94ED-421E-BFAD-2CBAAD420951}"/>
  <tableColumns count="13">
    <tableColumn id="1" xr3:uid="{83BF60EB-2916-4078-9298-A5E52A73896F}" name="ID" dataDxfId="21"/>
    <tableColumn id="2" xr3:uid="{C05944BB-1A4F-4492-8A07-7D6EFC099BE7}" name="Employee Name" dataDxfId="20"/>
    <tableColumn id="3" xr3:uid="{6C32E290-18FD-449D-981B-37D8091F9DB5}" name="Joining Date" dataDxfId="19"/>
    <tableColumn id="4" xr3:uid="{8DD50FA8-0F09-4B8E-9022-E7D026E533DB}" name="Today" dataDxfId="18">
      <calculatedColumnFormula>TODAY()</calculatedColumnFormula>
    </tableColumn>
    <tableColumn id="5" xr3:uid="{991F2373-3047-415A-9331-56EBD68A4DC7}" name="Experience Years">
      <calculatedColumnFormula>DATEDIF(C3,D3,"Y")</calculatedColumnFormula>
    </tableColumn>
    <tableColumn id="6" xr3:uid="{52197A69-FCD6-48F8-907C-9D942B7A2C29}" name="Experience Months">
      <calculatedColumnFormula>DATEDIF(C3,D3,"M")</calculatedColumnFormula>
    </tableColumn>
    <tableColumn id="7" xr3:uid="{40409A3D-9523-40C9-BF94-20DEAC466466}" name="Experience Days">
      <calculatedColumnFormula>DATEDIF(C3,D3,"D")</calculatedColumnFormula>
    </tableColumn>
    <tableColumn id="8" xr3:uid="{545A871D-7CFF-4C98-A75F-A7511D246CE5}" name="Project Start" dataDxfId="17"/>
    <tableColumn id="9" xr3:uid="{295CA92F-2253-4828-A04A-D537D5ECB7B9}" name="Project End" dataDxfId="16"/>
    <tableColumn id="10" xr3:uid="{F97E32CB-3F45-480D-8F80-9647B2F8F0D1}" name="Project Days">
      <calculatedColumnFormula>NETWORKDAYS(H3,I3)</calculatedColumnFormula>
    </tableColumn>
    <tableColumn id="11" xr3:uid="{2A2B0C33-E817-44CA-88D6-1D89F7D40B2F}" name="Working Days">
      <calculatedColumnFormula>WORKDAY(C3,10)</calculatedColumnFormula>
    </tableColumn>
    <tableColumn id="12" xr3:uid="{9491CD44-AE4A-4BDC-BD97-19DA58192B16}" name="6 Months After Joining">
      <calculatedColumnFormula>EDATE(C3,6)</calculatedColumnFormula>
    </tableColumn>
    <tableColumn id="13" xr3:uid="{12E675BA-7253-42C6-9093-B49D2C42B237}" name="Month End">
      <calculatedColumnFormula>EOMONTH(C3,0)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378768-3A7B-402D-92DB-C55CD574A954}" name="Table7" displayName="Table7" ref="B3:C7" totalsRowShown="0" headerRowDxfId="11" dataDxfId="12">
  <autoFilter ref="B3:C7" xr:uid="{85378768-3A7B-402D-92DB-C55CD574A954}"/>
  <tableColumns count="2">
    <tableColumn id="1" xr3:uid="{C013328A-6118-49CD-84DB-7C5423DD49A3}" name="Metric" dataDxfId="14"/>
    <tableColumn id="2" xr3:uid="{1D539007-CE80-4927-8766-222023AABEF9}" name="Result" dataDxfId="13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D7EB4C-34FD-44D8-B762-17F64C0616AA}" name="Table8" displayName="Table8" ref="G3:H8" totalsRowShown="0" headerRowDxfId="8">
  <autoFilter ref="G3:H8" xr:uid="{40D7EB4C-34FD-44D8-B762-17F64C0616AA}"/>
  <tableColumns count="2">
    <tableColumn id="1" xr3:uid="{44509628-765F-4D20-B238-7C90812DB61E}" name="Metric" dataDxfId="10"/>
    <tableColumn id="2" xr3:uid="{15792CC4-FE30-4301-AEC4-846D8F499D0F}" name="Result" dataDxfId="9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9C9AEA-9BAE-4022-9403-5072FB67EC2A}" name="Table9" displayName="Table9" ref="K3:L9" totalsRowShown="0" headerRowDxfId="4" dataDxfId="5">
  <autoFilter ref="K3:L9" xr:uid="{DE9C9AEA-9BAE-4022-9403-5072FB67EC2A}"/>
  <tableColumns count="2">
    <tableColumn id="1" xr3:uid="{584568EC-93D9-4265-8A11-21C63B8FD74D}" name="Metric" dataDxfId="7"/>
    <tableColumn id="2" xr3:uid="{B0F68374-58EF-4647-8522-62FD523C2145}" name="Result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681FE2-51B7-4EA1-86B0-53F5D5A068E9}" name="Table10" displayName="Table10" ref="N3:O16" totalsRowShown="0" headerRowDxfId="0" dataDxfId="1">
  <autoFilter ref="N3:O16" xr:uid="{E4681FE2-51B7-4EA1-86B0-53F5D5A068E9}"/>
  <tableColumns count="2">
    <tableColumn id="1" xr3:uid="{6BFB2905-A16D-449B-B8D6-A6104211CDA2}" name="Month" dataDxfId="3"/>
    <tableColumn id="2" xr3:uid="{A86AE5CF-1C75-47DD-A6EE-263F4C6B93DA}" name="Employee Count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4C57-6983-498F-A3AB-FF4211C6E761}">
  <dimension ref="A1:O14"/>
  <sheetViews>
    <sheetView tabSelected="1" zoomScale="76" workbookViewId="0">
      <selection activeCell="K12" sqref="K12"/>
    </sheetView>
  </sheetViews>
  <sheetFormatPr defaultRowHeight="14.4" x14ac:dyDescent="0.3"/>
  <cols>
    <col min="2" max="2" width="16.77734375" customWidth="1"/>
    <col min="3" max="3" width="13.5546875" customWidth="1"/>
    <col min="4" max="4" width="11.6640625" customWidth="1"/>
    <col min="5" max="5" width="18.21875" customWidth="1"/>
    <col min="6" max="6" width="17.44140625" customWidth="1"/>
    <col min="13" max="13" width="9.6640625" bestFit="1" customWidth="1"/>
  </cols>
  <sheetData>
    <row r="1" spans="1:15" ht="21" x14ac:dyDescent="0.4">
      <c r="C1" s="11" t="s">
        <v>81</v>
      </c>
      <c r="G1" s="1"/>
      <c r="H1" s="1"/>
      <c r="I1" s="1"/>
      <c r="J1" s="1"/>
      <c r="K1" s="1"/>
      <c r="L1" s="1"/>
      <c r="M1" s="1"/>
      <c r="N1" s="1"/>
      <c r="O1" s="1"/>
    </row>
    <row r="2" spans="1:15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/>
      <c r="I2" s="1"/>
      <c r="J2" s="1"/>
      <c r="K2" s="1"/>
      <c r="L2" s="1"/>
      <c r="M2" s="1"/>
      <c r="N2" s="1"/>
      <c r="O2" s="1"/>
    </row>
    <row r="3" spans="1:15" ht="28.8" x14ac:dyDescent="0.3">
      <c r="A3" s="2" t="s">
        <v>6</v>
      </c>
      <c r="B3" s="2" t="s">
        <v>7</v>
      </c>
      <c r="C3" s="3">
        <v>44576</v>
      </c>
      <c r="D3" s="3">
        <v>36595</v>
      </c>
      <c r="E3" s="3">
        <v>46023</v>
      </c>
      <c r="F3" s="3">
        <v>46112</v>
      </c>
      <c r="G3" s="1"/>
      <c r="H3" s="1"/>
      <c r="I3" s="1"/>
      <c r="J3" s="1"/>
      <c r="K3" s="1"/>
      <c r="L3" s="1"/>
      <c r="M3" s="1"/>
      <c r="N3" s="1"/>
      <c r="O3" s="1"/>
    </row>
    <row r="4" spans="1:15" ht="28.8" x14ac:dyDescent="0.3">
      <c r="A4" s="2" t="s">
        <v>8</v>
      </c>
      <c r="B4" s="2" t="s">
        <v>9</v>
      </c>
      <c r="C4" s="3">
        <v>44247</v>
      </c>
      <c r="D4" s="3">
        <v>36366</v>
      </c>
      <c r="E4" s="3">
        <v>46037</v>
      </c>
      <c r="F4" s="3">
        <v>46127</v>
      </c>
      <c r="G4" s="1"/>
      <c r="H4" s="1"/>
      <c r="I4" s="1"/>
      <c r="J4" s="1"/>
      <c r="K4" s="1"/>
      <c r="L4" s="1"/>
      <c r="M4" s="1"/>
      <c r="N4" s="1"/>
      <c r="O4" s="1"/>
    </row>
    <row r="5" spans="1:15" ht="28.8" x14ac:dyDescent="0.3">
      <c r="A5" s="2" t="s">
        <v>10</v>
      </c>
      <c r="B5" s="2" t="s">
        <v>11</v>
      </c>
      <c r="C5" s="3">
        <v>44990</v>
      </c>
      <c r="D5" s="3">
        <v>37243</v>
      </c>
      <c r="E5" s="3">
        <v>46054</v>
      </c>
      <c r="F5" s="3">
        <v>46142</v>
      </c>
      <c r="G5" s="1"/>
      <c r="H5" s="1"/>
      <c r="I5" s="1"/>
      <c r="J5" s="1"/>
      <c r="K5" s="1"/>
      <c r="L5" s="1"/>
      <c r="M5" s="1"/>
      <c r="N5" s="1"/>
      <c r="O5" s="1"/>
    </row>
    <row r="6" spans="1:15" ht="28.8" x14ac:dyDescent="0.3">
      <c r="A6" s="2" t="s">
        <v>12</v>
      </c>
      <c r="B6" s="2" t="s">
        <v>13</v>
      </c>
      <c r="C6" s="3">
        <v>43933</v>
      </c>
      <c r="D6" s="3">
        <v>35937</v>
      </c>
      <c r="E6" s="3">
        <v>46063</v>
      </c>
      <c r="F6" s="3">
        <v>46162</v>
      </c>
      <c r="G6" s="1"/>
      <c r="H6" s="1"/>
      <c r="I6" s="1"/>
      <c r="J6" s="1"/>
      <c r="K6" s="1"/>
      <c r="L6" s="1"/>
      <c r="M6" s="1"/>
      <c r="N6" s="1"/>
      <c r="O6" s="1"/>
    </row>
    <row r="7" spans="1:15" ht="28.8" x14ac:dyDescent="0.3">
      <c r="A7" s="2" t="s">
        <v>14</v>
      </c>
      <c r="B7" s="2" t="s">
        <v>15</v>
      </c>
      <c r="C7" s="3">
        <v>44706</v>
      </c>
      <c r="D7" s="3">
        <v>36530</v>
      </c>
      <c r="E7" s="3">
        <v>46082</v>
      </c>
      <c r="F7" s="3">
        <v>46203</v>
      </c>
      <c r="G7" s="1"/>
      <c r="H7" s="1"/>
      <c r="I7" s="1"/>
      <c r="J7" s="1"/>
      <c r="K7" s="1"/>
      <c r="L7" s="1"/>
      <c r="M7" s="1"/>
      <c r="N7" s="1"/>
      <c r="O7" s="1"/>
    </row>
    <row r="8" spans="1:15" ht="28.8" x14ac:dyDescent="0.3">
      <c r="A8" s="2" t="s">
        <v>16</v>
      </c>
      <c r="B8" s="2" t="s">
        <v>17</v>
      </c>
      <c r="C8" s="3">
        <v>44357</v>
      </c>
      <c r="D8" s="3">
        <v>36417</v>
      </c>
      <c r="E8" s="3">
        <v>46096</v>
      </c>
      <c r="F8" s="3">
        <v>46218</v>
      </c>
      <c r="G8" s="1"/>
      <c r="H8" s="1"/>
      <c r="I8" s="1"/>
      <c r="J8" s="1"/>
      <c r="K8" s="1"/>
      <c r="L8" s="1"/>
      <c r="M8" s="1"/>
      <c r="N8" s="1"/>
      <c r="O8" s="1"/>
    </row>
    <row r="9" spans="1:15" ht="28.8" x14ac:dyDescent="0.3">
      <c r="A9" s="2" t="s">
        <v>18</v>
      </c>
      <c r="B9" s="2" t="s">
        <v>19</v>
      </c>
      <c r="C9" s="3">
        <v>45125</v>
      </c>
      <c r="D9" s="3">
        <v>37225</v>
      </c>
      <c r="E9" s="3">
        <v>46113</v>
      </c>
      <c r="F9" s="3">
        <v>46234</v>
      </c>
      <c r="G9" s="1"/>
      <c r="H9" s="1"/>
      <c r="I9" s="1"/>
      <c r="J9" s="1"/>
      <c r="K9" s="1"/>
      <c r="L9" s="1"/>
      <c r="M9" s="1"/>
      <c r="N9" s="1"/>
      <c r="O9" s="1"/>
    </row>
    <row r="10" spans="1:15" ht="28.8" x14ac:dyDescent="0.3">
      <c r="A10" s="2" t="s">
        <v>20</v>
      </c>
      <c r="B10" s="2" t="s">
        <v>21</v>
      </c>
      <c r="C10" s="3">
        <v>44065</v>
      </c>
      <c r="D10" s="3">
        <v>35834</v>
      </c>
      <c r="E10" s="3">
        <v>46127</v>
      </c>
      <c r="F10" s="3">
        <v>46249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 ht="28.8" x14ac:dyDescent="0.3">
      <c r="A11" s="2" t="s">
        <v>22</v>
      </c>
      <c r="B11" s="2" t="s">
        <v>23</v>
      </c>
      <c r="C11" s="3">
        <v>44834</v>
      </c>
      <c r="D11" s="3">
        <v>36696</v>
      </c>
      <c r="E11" s="3">
        <v>46143</v>
      </c>
      <c r="F11" s="3">
        <v>46265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 ht="28.8" x14ac:dyDescent="0.3">
      <c r="A12" s="2" t="s">
        <v>24</v>
      </c>
      <c r="B12" s="2" t="s">
        <v>25</v>
      </c>
      <c r="C12" s="3">
        <v>44483</v>
      </c>
      <c r="D12" s="3">
        <v>36246</v>
      </c>
      <c r="E12" s="3">
        <v>46157</v>
      </c>
      <c r="F12" s="3">
        <v>46280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 ht="28.8" x14ac:dyDescent="0.3">
      <c r="A13" s="2" t="s">
        <v>26</v>
      </c>
      <c r="B13" s="2" t="s">
        <v>27</v>
      </c>
      <c r="C13" s="3">
        <v>45235</v>
      </c>
      <c r="D13" s="3">
        <v>37479</v>
      </c>
      <c r="E13" s="3">
        <v>46174</v>
      </c>
      <c r="F13" s="3">
        <v>46295</v>
      </c>
      <c r="G13" s="1"/>
      <c r="H13" s="1"/>
      <c r="I13" s="1"/>
      <c r="J13" s="1"/>
      <c r="K13" s="1"/>
      <c r="L13" s="1"/>
      <c r="M13" s="1"/>
      <c r="N13" s="1"/>
      <c r="O13" s="1"/>
    </row>
    <row r="14" spans="1:15" ht="28.8" x14ac:dyDescent="0.3">
      <c r="A14" s="2" t="s">
        <v>28</v>
      </c>
      <c r="B14" s="2" t="s">
        <v>29</v>
      </c>
      <c r="C14" s="3">
        <v>44181</v>
      </c>
      <c r="D14" s="3">
        <v>35829</v>
      </c>
      <c r="E14" s="3">
        <v>46188</v>
      </c>
      <c r="F14" s="3">
        <v>46310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C7FF-A576-43C6-B228-96BFF0C1D575}">
  <dimension ref="A1:M14"/>
  <sheetViews>
    <sheetView zoomScale="82" workbookViewId="0">
      <selection activeCell="W9" sqref="W9"/>
    </sheetView>
  </sheetViews>
  <sheetFormatPr defaultRowHeight="14.4" x14ac:dyDescent="0.3"/>
  <cols>
    <col min="2" max="2" width="16.77734375" customWidth="1"/>
    <col min="3" max="3" width="13.33203125" customWidth="1"/>
    <col min="6" max="6" width="11.5546875" customWidth="1"/>
    <col min="7" max="7" width="13.77734375" customWidth="1"/>
    <col min="8" max="8" width="11.5546875" customWidth="1"/>
    <col min="9" max="9" width="15.33203125" customWidth="1"/>
  </cols>
  <sheetData>
    <row r="1" spans="1:13" ht="27" customHeight="1" x14ac:dyDescent="0.4">
      <c r="E1" s="9" t="s">
        <v>82</v>
      </c>
    </row>
    <row r="2" spans="1:13" ht="28.8" x14ac:dyDescent="0.3">
      <c r="A2" s="1" t="s">
        <v>0</v>
      </c>
      <c r="B2" s="1" t="s">
        <v>1</v>
      </c>
      <c r="C2" s="1" t="s">
        <v>2</v>
      </c>
      <c r="D2" t="s">
        <v>30</v>
      </c>
      <c r="E2" s="1" t="s">
        <v>31</v>
      </c>
      <c r="F2" s="1" t="s">
        <v>33</v>
      </c>
      <c r="G2" t="s">
        <v>34</v>
      </c>
      <c r="H2" s="1" t="s">
        <v>32</v>
      </c>
      <c r="I2" s="1" t="s">
        <v>35</v>
      </c>
    </row>
    <row r="3" spans="1:13" ht="28.8" x14ac:dyDescent="0.3">
      <c r="A3" s="2" t="s">
        <v>6</v>
      </c>
      <c r="B3" s="2" t="s">
        <v>7</v>
      </c>
      <c r="C3" s="3">
        <v>44576</v>
      </c>
      <c r="D3">
        <f>DAY(C3)</f>
        <v>15</v>
      </c>
      <c r="E3">
        <f>MONTH(C3)</f>
        <v>1</v>
      </c>
      <c r="F3">
        <f>YEAR(C3)</f>
        <v>2022</v>
      </c>
      <c r="G3" t="str">
        <f>TEXT(C3,"mmmm")</f>
        <v>January</v>
      </c>
      <c r="H3" t="str">
        <f>TEXT(C3,"dddd")</f>
        <v>Saturday</v>
      </c>
      <c r="I3">
        <f>WEEKNUM(C3)</f>
        <v>3</v>
      </c>
    </row>
    <row r="4" spans="1:13" ht="28.8" x14ac:dyDescent="0.3">
      <c r="A4" s="2" t="s">
        <v>8</v>
      </c>
      <c r="B4" s="2" t="s">
        <v>9</v>
      </c>
      <c r="C4" s="3">
        <v>44247</v>
      </c>
      <c r="D4">
        <f t="shared" ref="D4:D14" si="0">DAY(C4)</f>
        <v>20</v>
      </c>
      <c r="E4">
        <f t="shared" ref="E4:E14" si="1">MONTH(C4)</f>
        <v>2</v>
      </c>
      <c r="F4">
        <f t="shared" ref="F4:F14" si="2">YEAR(C4)</f>
        <v>2021</v>
      </c>
      <c r="G4" t="str">
        <f t="shared" ref="G4:G14" si="3">TEXT(C4,"mmmm")</f>
        <v>February</v>
      </c>
      <c r="H4" t="str">
        <f t="shared" ref="H4:H14" si="4">TEXT(C4,"dddd")</f>
        <v>Saturday</v>
      </c>
      <c r="I4">
        <f t="shared" ref="I4:I14" si="5">WEEKNUM(C4)</f>
        <v>8</v>
      </c>
      <c r="J4" s="1"/>
      <c r="K4" s="1"/>
      <c r="L4" s="1"/>
      <c r="M4" s="1"/>
    </row>
    <row r="5" spans="1:13" ht="28.8" x14ac:dyDescent="0.3">
      <c r="A5" s="2" t="s">
        <v>10</v>
      </c>
      <c r="B5" s="2" t="s">
        <v>11</v>
      </c>
      <c r="C5" s="3">
        <v>44990</v>
      </c>
      <c r="D5">
        <f t="shared" si="0"/>
        <v>5</v>
      </c>
      <c r="E5">
        <f t="shared" si="1"/>
        <v>3</v>
      </c>
      <c r="F5">
        <f t="shared" si="2"/>
        <v>2023</v>
      </c>
      <c r="G5" t="str">
        <f t="shared" si="3"/>
        <v>March</v>
      </c>
      <c r="H5" t="str">
        <f t="shared" si="4"/>
        <v>Sunday</v>
      </c>
      <c r="I5">
        <f t="shared" si="5"/>
        <v>10</v>
      </c>
      <c r="J5" s="1"/>
      <c r="K5" s="1"/>
      <c r="L5" s="1"/>
      <c r="M5" s="1"/>
    </row>
    <row r="6" spans="1:13" ht="28.8" x14ac:dyDescent="0.3">
      <c r="A6" s="2" t="s">
        <v>12</v>
      </c>
      <c r="B6" s="2" t="s">
        <v>13</v>
      </c>
      <c r="C6" s="3">
        <v>43933</v>
      </c>
      <c r="D6">
        <f t="shared" si="0"/>
        <v>12</v>
      </c>
      <c r="E6">
        <f t="shared" si="1"/>
        <v>4</v>
      </c>
      <c r="F6">
        <f t="shared" si="2"/>
        <v>2020</v>
      </c>
      <c r="G6" t="str">
        <f t="shared" si="3"/>
        <v>April</v>
      </c>
      <c r="H6" t="str">
        <f t="shared" si="4"/>
        <v>Sunday</v>
      </c>
      <c r="I6">
        <f t="shared" si="5"/>
        <v>16</v>
      </c>
      <c r="J6" s="1"/>
      <c r="K6" s="1"/>
      <c r="L6" s="1"/>
      <c r="M6" s="1"/>
    </row>
    <row r="7" spans="1:13" ht="28.8" x14ac:dyDescent="0.3">
      <c r="A7" s="2" t="s">
        <v>14</v>
      </c>
      <c r="B7" s="2" t="s">
        <v>15</v>
      </c>
      <c r="C7" s="3">
        <v>44706</v>
      </c>
      <c r="D7">
        <f t="shared" si="0"/>
        <v>25</v>
      </c>
      <c r="E7">
        <f t="shared" si="1"/>
        <v>5</v>
      </c>
      <c r="F7">
        <f t="shared" si="2"/>
        <v>2022</v>
      </c>
      <c r="G7" t="str">
        <f t="shared" si="3"/>
        <v>May</v>
      </c>
      <c r="H7" t="str">
        <f t="shared" si="4"/>
        <v>Wednesday</v>
      </c>
      <c r="I7">
        <f t="shared" si="5"/>
        <v>22</v>
      </c>
      <c r="J7" s="1"/>
      <c r="K7" s="1"/>
      <c r="L7" s="1"/>
      <c r="M7" s="1"/>
    </row>
    <row r="8" spans="1:13" ht="28.8" x14ac:dyDescent="0.3">
      <c r="A8" s="2" t="s">
        <v>16</v>
      </c>
      <c r="B8" s="2" t="s">
        <v>17</v>
      </c>
      <c r="C8" s="3">
        <v>44357</v>
      </c>
      <c r="D8">
        <f t="shared" si="0"/>
        <v>10</v>
      </c>
      <c r="E8">
        <f t="shared" si="1"/>
        <v>6</v>
      </c>
      <c r="F8">
        <f t="shared" si="2"/>
        <v>2021</v>
      </c>
      <c r="G8" t="str">
        <f t="shared" si="3"/>
        <v>June</v>
      </c>
      <c r="H8" t="str">
        <f t="shared" si="4"/>
        <v>Thursday</v>
      </c>
      <c r="I8">
        <f t="shared" si="5"/>
        <v>24</v>
      </c>
      <c r="J8" s="1"/>
      <c r="K8" s="1"/>
      <c r="L8" s="1"/>
      <c r="M8" s="1"/>
    </row>
    <row r="9" spans="1:13" ht="28.8" x14ac:dyDescent="0.3">
      <c r="A9" s="2" t="s">
        <v>18</v>
      </c>
      <c r="B9" s="2" t="s">
        <v>19</v>
      </c>
      <c r="C9" s="3">
        <v>45125</v>
      </c>
      <c r="D9">
        <f t="shared" si="0"/>
        <v>18</v>
      </c>
      <c r="E9">
        <f t="shared" si="1"/>
        <v>7</v>
      </c>
      <c r="F9">
        <f t="shared" si="2"/>
        <v>2023</v>
      </c>
      <c r="G9" t="str">
        <f t="shared" si="3"/>
        <v>July</v>
      </c>
      <c r="H9" t="str">
        <f t="shared" si="4"/>
        <v>Tuesday</v>
      </c>
      <c r="I9">
        <f t="shared" si="5"/>
        <v>29</v>
      </c>
    </row>
    <row r="10" spans="1:13" ht="28.8" x14ac:dyDescent="0.3">
      <c r="A10" s="2" t="s">
        <v>20</v>
      </c>
      <c r="B10" s="2" t="s">
        <v>21</v>
      </c>
      <c r="C10" s="3">
        <v>44065</v>
      </c>
      <c r="D10">
        <f t="shared" si="0"/>
        <v>22</v>
      </c>
      <c r="E10">
        <f t="shared" si="1"/>
        <v>8</v>
      </c>
      <c r="F10">
        <f t="shared" si="2"/>
        <v>2020</v>
      </c>
      <c r="G10" t="str">
        <f t="shared" si="3"/>
        <v>August</v>
      </c>
      <c r="H10" t="str">
        <f t="shared" si="4"/>
        <v>Saturday</v>
      </c>
      <c r="I10">
        <f t="shared" si="5"/>
        <v>34</v>
      </c>
    </row>
    <row r="11" spans="1:13" ht="28.8" x14ac:dyDescent="0.3">
      <c r="A11" s="2" t="s">
        <v>22</v>
      </c>
      <c r="B11" s="2" t="s">
        <v>23</v>
      </c>
      <c r="C11" s="3">
        <v>44834</v>
      </c>
      <c r="D11">
        <f t="shared" si="0"/>
        <v>30</v>
      </c>
      <c r="E11">
        <f t="shared" si="1"/>
        <v>9</v>
      </c>
      <c r="F11">
        <f t="shared" si="2"/>
        <v>2022</v>
      </c>
      <c r="G11" t="str">
        <f t="shared" si="3"/>
        <v>September</v>
      </c>
      <c r="H11" t="str">
        <f t="shared" si="4"/>
        <v>Friday</v>
      </c>
      <c r="I11">
        <f t="shared" si="5"/>
        <v>40</v>
      </c>
    </row>
    <row r="12" spans="1:13" ht="28.8" x14ac:dyDescent="0.3">
      <c r="A12" s="2" t="s">
        <v>24</v>
      </c>
      <c r="B12" s="2" t="s">
        <v>25</v>
      </c>
      <c r="C12" s="3">
        <v>44483</v>
      </c>
      <c r="D12">
        <f t="shared" si="0"/>
        <v>14</v>
      </c>
      <c r="E12">
        <f t="shared" si="1"/>
        <v>10</v>
      </c>
      <c r="F12">
        <f t="shared" si="2"/>
        <v>2021</v>
      </c>
      <c r="G12" t="str">
        <f t="shared" si="3"/>
        <v>October</v>
      </c>
      <c r="H12" t="str">
        <f t="shared" si="4"/>
        <v>Thursday</v>
      </c>
      <c r="I12">
        <f t="shared" si="5"/>
        <v>42</v>
      </c>
    </row>
    <row r="13" spans="1:13" ht="28.8" x14ac:dyDescent="0.3">
      <c r="A13" s="2" t="s">
        <v>26</v>
      </c>
      <c r="B13" s="2" t="s">
        <v>27</v>
      </c>
      <c r="C13" s="3">
        <v>45235</v>
      </c>
      <c r="D13">
        <f t="shared" si="0"/>
        <v>5</v>
      </c>
      <c r="E13">
        <f t="shared" si="1"/>
        <v>11</v>
      </c>
      <c r="F13">
        <f t="shared" si="2"/>
        <v>2023</v>
      </c>
      <c r="G13" t="str">
        <f t="shared" si="3"/>
        <v>November</v>
      </c>
      <c r="H13" t="str">
        <f t="shared" si="4"/>
        <v>Sunday</v>
      </c>
      <c r="I13">
        <f t="shared" si="5"/>
        <v>45</v>
      </c>
    </row>
    <row r="14" spans="1:13" ht="28.8" x14ac:dyDescent="0.3">
      <c r="A14" s="2" t="s">
        <v>28</v>
      </c>
      <c r="B14" s="2" t="s">
        <v>29</v>
      </c>
      <c r="C14" s="3">
        <v>44181</v>
      </c>
      <c r="D14">
        <f t="shared" si="0"/>
        <v>16</v>
      </c>
      <c r="E14">
        <f t="shared" si="1"/>
        <v>12</v>
      </c>
      <c r="F14">
        <f t="shared" si="2"/>
        <v>2020</v>
      </c>
      <c r="G14" t="str">
        <f t="shared" si="3"/>
        <v>December</v>
      </c>
      <c r="H14" t="str">
        <f t="shared" si="4"/>
        <v>Wednesday</v>
      </c>
      <c r="I14">
        <f t="shared" si="5"/>
        <v>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4AD1-6B0C-4D97-8AA0-CB999E439E44}">
  <dimension ref="A1:M14"/>
  <sheetViews>
    <sheetView zoomScale="46" workbookViewId="0">
      <selection activeCell="AG35" sqref="AG35"/>
    </sheetView>
  </sheetViews>
  <sheetFormatPr defaultRowHeight="14.4" x14ac:dyDescent="0.3"/>
  <cols>
    <col min="2" max="2" width="16.5546875" customWidth="1"/>
    <col min="3" max="3" width="13.44140625" customWidth="1"/>
    <col min="4" max="4" width="9.6640625" bestFit="1" customWidth="1"/>
    <col min="5" max="5" width="17.109375" customWidth="1"/>
    <col min="6" max="6" width="19.21875" customWidth="1"/>
    <col min="7" max="7" width="16.6640625" customWidth="1"/>
    <col min="8" max="8" width="13.5546875" customWidth="1"/>
    <col min="9" max="9" width="12.6640625" customWidth="1"/>
    <col min="10" max="10" width="13.5546875" customWidth="1"/>
    <col min="11" max="11" width="14.77734375" customWidth="1"/>
    <col min="12" max="12" width="22.109375" customWidth="1"/>
    <col min="13" max="13" width="12.5546875" customWidth="1"/>
  </cols>
  <sheetData>
    <row r="1" spans="1:13" ht="21" x14ac:dyDescent="0.4">
      <c r="E1" s="9" t="s">
        <v>83</v>
      </c>
    </row>
    <row r="2" spans="1:13" ht="43.2" x14ac:dyDescent="0.3">
      <c r="A2" s="1" t="s">
        <v>0</v>
      </c>
      <c r="B2" s="1" t="s">
        <v>1</v>
      </c>
      <c r="C2" s="1" t="s">
        <v>2</v>
      </c>
      <c r="D2" s="1" t="s">
        <v>36</v>
      </c>
      <c r="E2" s="4" t="s">
        <v>37</v>
      </c>
      <c r="F2" s="4" t="s">
        <v>38</v>
      </c>
      <c r="G2" s="4" t="s">
        <v>39</v>
      </c>
      <c r="H2" s="1" t="s">
        <v>40</v>
      </c>
      <c r="I2" s="1" t="s">
        <v>41</v>
      </c>
      <c r="J2" s="4" t="s">
        <v>42</v>
      </c>
      <c r="K2" s="4" t="s">
        <v>43</v>
      </c>
      <c r="L2" s="1" t="s">
        <v>44</v>
      </c>
      <c r="M2" s="1" t="s">
        <v>45</v>
      </c>
    </row>
    <row r="3" spans="1:13" ht="28.8" x14ac:dyDescent="0.3">
      <c r="A3" s="2" t="s">
        <v>6</v>
      </c>
      <c r="B3" s="2" t="s">
        <v>7</v>
      </c>
      <c r="C3" s="3">
        <v>44576</v>
      </c>
      <c r="D3" s="5">
        <f ca="1">TODAY()</f>
        <v>46292</v>
      </c>
      <c r="E3">
        <f ca="1">DATEDIF(C3,D3,"Y")</f>
        <v>4</v>
      </c>
      <c r="F3">
        <f ca="1">DATEDIF(C3,D3,"M")</f>
        <v>56</v>
      </c>
      <c r="G3">
        <f ca="1">DATEDIF(C3,D3,"D")</f>
        <v>1716</v>
      </c>
      <c r="H3" s="3">
        <v>46023</v>
      </c>
      <c r="I3" s="3">
        <v>46112</v>
      </c>
      <c r="J3">
        <f>NETWORKDAYS(H3,I3)</f>
        <v>64</v>
      </c>
      <c r="K3">
        <f>WORKDAY(C3,10)</f>
        <v>44589</v>
      </c>
      <c r="L3">
        <f>EDATE(C3,6)</f>
        <v>44757</v>
      </c>
      <c r="M3">
        <f>EOMONTH(C3,0)</f>
        <v>44592</v>
      </c>
    </row>
    <row r="4" spans="1:13" x14ac:dyDescent="0.3">
      <c r="A4" s="2" t="s">
        <v>8</v>
      </c>
      <c r="B4" s="2" t="s">
        <v>9</v>
      </c>
      <c r="C4" s="3">
        <v>44577</v>
      </c>
      <c r="D4" s="5">
        <f t="shared" ref="D4:D14" ca="1" si="0">TODAY()</f>
        <v>46292</v>
      </c>
      <c r="E4">
        <f t="shared" ref="E4:E14" ca="1" si="1">DATEDIF(C4,D4,"Y")</f>
        <v>4</v>
      </c>
      <c r="F4">
        <f t="shared" ref="F4:F14" ca="1" si="2">DATEDIF(C4,D4,"M")</f>
        <v>56</v>
      </c>
      <c r="G4">
        <f ca="1">DATEDIF(C4,D4,"D")</f>
        <v>1715</v>
      </c>
      <c r="H4" s="3">
        <v>46037</v>
      </c>
      <c r="I4" s="3">
        <v>46127</v>
      </c>
      <c r="J4">
        <f t="shared" ref="J4:J14" si="3">NETWORKDAYS(H4,I4)</f>
        <v>65</v>
      </c>
      <c r="K4">
        <f t="shared" ref="K4:K14" si="4">WORKDAY(C4,10)</f>
        <v>44589</v>
      </c>
      <c r="L4">
        <f t="shared" ref="L4:L14" si="5">EDATE(C4,6)</f>
        <v>44758</v>
      </c>
      <c r="M4">
        <f t="shared" ref="M4:M14" si="6">EOMONTH(C4,0)</f>
        <v>44592</v>
      </c>
    </row>
    <row r="5" spans="1:13" ht="28.8" x14ac:dyDescent="0.3">
      <c r="A5" s="2" t="s">
        <v>10</v>
      </c>
      <c r="B5" s="2" t="s">
        <v>11</v>
      </c>
      <c r="C5" s="3">
        <v>44578</v>
      </c>
      <c r="D5" s="5">
        <f t="shared" ca="1" si="0"/>
        <v>46292</v>
      </c>
      <c r="E5">
        <f t="shared" ca="1" si="1"/>
        <v>4</v>
      </c>
      <c r="F5">
        <f t="shared" ca="1" si="2"/>
        <v>56</v>
      </c>
      <c r="G5">
        <f t="shared" ref="G5:G14" ca="1" si="7">DATEDIF(C5,D5,"D")</f>
        <v>1714</v>
      </c>
      <c r="H5" s="3">
        <v>46054</v>
      </c>
      <c r="I5" s="3">
        <v>46142</v>
      </c>
      <c r="J5">
        <f t="shared" si="3"/>
        <v>64</v>
      </c>
      <c r="K5">
        <f t="shared" si="4"/>
        <v>44592</v>
      </c>
      <c r="L5">
        <f t="shared" si="5"/>
        <v>44759</v>
      </c>
      <c r="M5">
        <f t="shared" si="6"/>
        <v>44592</v>
      </c>
    </row>
    <row r="6" spans="1:13" ht="28.8" x14ac:dyDescent="0.3">
      <c r="A6" s="2" t="s">
        <v>12</v>
      </c>
      <c r="B6" s="2" t="s">
        <v>13</v>
      </c>
      <c r="C6" s="3">
        <v>44579</v>
      </c>
      <c r="D6" s="5">
        <f t="shared" ca="1" si="0"/>
        <v>46292</v>
      </c>
      <c r="E6">
        <f t="shared" ca="1" si="1"/>
        <v>4</v>
      </c>
      <c r="F6">
        <f t="shared" ca="1" si="2"/>
        <v>56</v>
      </c>
      <c r="G6">
        <f t="shared" ca="1" si="7"/>
        <v>1713</v>
      </c>
      <c r="H6" s="3">
        <v>46063</v>
      </c>
      <c r="I6" s="3">
        <v>46162</v>
      </c>
      <c r="J6">
        <f t="shared" si="3"/>
        <v>72</v>
      </c>
      <c r="K6">
        <f t="shared" si="4"/>
        <v>44593</v>
      </c>
      <c r="L6">
        <f t="shared" si="5"/>
        <v>44760</v>
      </c>
      <c r="M6">
        <f t="shared" si="6"/>
        <v>44592</v>
      </c>
    </row>
    <row r="7" spans="1:13" ht="28.8" x14ac:dyDescent="0.3">
      <c r="A7" s="2" t="s">
        <v>14</v>
      </c>
      <c r="B7" s="2" t="s">
        <v>15</v>
      </c>
      <c r="C7" s="3">
        <v>44580</v>
      </c>
      <c r="D7" s="5">
        <f t="shared" ca="1" si="0"/>
        <v>46292</v>
      </c>
      <c r="E7">
        <f t="shared" ca="1" si="1"/>
        <v>4</v>
      </c>
      <c r="F7">
        <f t="shared" ca="1" si="2"/>
        <v>56</v>
      </c>
      <c r="G7">
        <f t="shared" ca="1" si="7"/>
        <v>1712</v>
      </c>
      <c r="H7" s="3">
        <v>46082</v>
      </c>
      <c r="I7" s="3">
        <v>46203</v>
      </c>
      <c r="J7">
        <f t="shared" si="3"/>
        <v>87</v>
      </c>
      <c r="K7">
        <f t="shared" si="4"/>
        <v>44594</v>
      </c>
      <c r="L7">
        <f t="shared" si="5"/>
        <v>44761</v>
      </c>
      <c r="M7">
        <f t="shared" si="6"/>
        <v>44592</v>
      </c>
    </row>
    <row r="8" spans="1:13" ht="28.8" x14ac:dyDescent="0.3">
      <c r="A8" s="2" t="s">
        <v>16</v>
      </c>
      <c r="B8" s="2" t="s">
        <v>17</v>
      </c>
      <c r="C8" s="3">
        <v>44581</v>
      </c>
      <c r="D8" s="5">
        <f t="shared" ca="1" si="0"/>
        <v>46292</v>
      </c>
      <c r="E8">
        <f t="shared" ca="1" si="1"/>
        <v>4</v>
      </c>
      <c r="F8">
        <f t="shared" ca="1" si="2"/>
        <v>56</v>
      </c>
      <c r="G8">
        <f t="shared" ca="1" si="7"/>
        <v>1711</v>
      </c>
      <c r="H8" s="3">
        <v>46096</v>
      </c>
      <c r="I8" s="3">
        <v>46218</v>
      </c>
      <c r="J8">
        <f t="shared" si="3"/>
        <v>88</v>
      </c>
      <c r="K8">
        <f t="shared" si="4"/>
        <v>44595</v>
      </c>
      <c r="L8">
        <f t="shared" si="5"/>
        <v>44762</v>
      </c>
      <c r="M8">
        <f t="shared" si="6"/>
        <v>44592</v>
      </c>
    </row>
    <row r="9" spans="1:13" ht="28.8" x14ac:dyDescent="0.3">
      <c r="A9" s="2" t="s">
        <v>18</v>
      </c>
      <c r="B9" s="2" t="s">
        <v>19</v>
      </c>
      <c r="C9" s="3">
        <v>44582</v>
      </c>
      <c r="D9" s="5">
        <f t="shared" ca="1" si="0"/>
        <v>46292</v>
      </c>
      <c r="E9">
        <f t="shared" ca="1" si="1"/>
        <v>4</v>
      </c>
      <c r="F9">
        <f t="shared" ca="1" si="2"/>
        <v>56</v>
      </c>
      <c r="G9">
        <f t="shared" ca="1" si="7"/>
        <v>1710</v>
      </c>
      <c r="H9" s="3">
        <v>46113</v>
      </c>
      <c r="I9" s="3">
        <v>46234</v>
      </c>
      <c r="J9">
        <f t="shared" si="3"/>
        <v>88</v>
      </c>
      <c r="K9">
        <f t="shared" si="4"/>
        <v>44596</v>
      </c>
      <c r="L9">
        <f t="shared" si="5"/>
        <v>44763</v>
      </c>
      <c r="M9">
        <f t="shared" si="6"/>
        <v>44592</v>
      </c>
    </row>
    <row r="10" spans="1:13" ht="28.8" x14ac:dyDescent="0.3">
      <c r="A10" s="2" t="s">
        <v>20</v>
      </c>
      <c r="B10" s="2" t="s">
        <v>21</v>
      </c>
      <c r="C10" s="3">
        <v>44583</v>
      </c>
      <c r="D10" s="5">
        <f t="shared" ca="1" si="0"/>
        <v>46292</v>
      </c>
      <c r="E10">
        <f t="shared" ca="1" si="1"/>
        <v>4</v>
      </c>
      <c r="F10">
        <f t="shared" ca="1" si="2"/>
        <v>56</v>
      </c>
      <c r="G10">
        <f t="shared" ca="1" si="7"/>
        <v>1709</v>
      </c>
      <c r="H10" s="3">
        <v>46127</v>
      </c>
      <c r="I10" s="3">
        <v>46249</v>
      </c>
      <c r="J10">
        <f t="shared" si="3"/>
        <v>88</v>
      </c>
      <c r="K10">
        <f t="shared" si="4"/>
        <v>44596</v>
      </c>
      <c r="L10">
        <f t="shared" si="5"/>
        <v>44764</v>
      </c>
      <c r="M10">
        <f t="shared" si="6"/>
        <v>44592</v>
      </c>
    </row>
    <row r="11" spans="1:13" ht="28.8" x14ac:dyDescent="0.3">
      <c r="A11" s="2" t="s">
        <v>22</v>
      </c>
      <c r="B11" s="2" t="s">
        <v>23</v>
      </c>
      <c r="C11" s="3">
        <v>44584</v>
      </c>
      <c r="D11" s="5">
        <f t="shared" ca="1" si="0"/>
        <v>46292</v>
      </c>
      <c r="E11">
        <f t="shared" ca="1" si="1"/>
        <v>4</v>
      </c>
      <c r="F11">
        <f t="shared" ca="1" si="2"/>
        <v>56</v>
      </c>
      <c r="G11">
        <f t="shared" ca="1" si="7"/>
        <v>1708</v>
      </c>
      <c r="H11" s="3">
        <v>46143</v>
      </c>
      <c r="I11" s="3">
        <v>46265</v>
      </c>
      <c r="J11">
        <f t="shared" si="3"/>
        <v>87</v>
      </c>
      <c r="K11">
        <f t="shared" si="4"/>
        <v>44596</v>
      </c>
      <c r="L11">
        <f t="shared" si="5"/>
        <v>44765</v>
      </c>
      <c r="M11">
        <f t="shared" si="6"/>
        <v>44592</v>
      </c>
    </row>
    <row r="12" spans="1:13" x14ac:dyDescent="0.3">
      <c r="A12" s="2" t="s">
        <v>24</v>
      </c>
      <c r="B12" s="2" t="s">
        <v>25</v>
      </c>
      <c r="C12" s="3">
        <v>44585</v>
      </c>
      <c r="D12" s="5">
        <f t="shared" ca="1" si="0"/>
        <v>46292</v>
      </c>
      <c r="E12">
        <f t="shared" ca="1" si="1"/>
        <v>4</v>
      </c>
      <c r="F12">
        <f t="shared" ca="1" si="2"/>
        <v>56</v>
      </c>
      <c r="G12">
        <f t="shared" ca="1" si="7"/>
        <v>1707</v>
      </c>
      <c r="H12" s="3">
        <v>46157</v>
      </c>
      <c r="I12" s="3">
        <v>46280</v>
      </c>
      <c r="J12">
        <f t="shared" si="3"/>
        <v>88</v>
      </c>
      <c r="K12">
        <f t="shared" si="4"/>
        <v>44599</v>
      </c>
      <c r="L12">
        <f t="shared" si="5"/>
        <v>44766</v>
      </c>
      <c r="M12">
        <f t="shared" si="6"/>
        <v>44592</v>
      </c>
    </row>
    <row r="13" spans="1:13" ht="28.8" x14ac:dyDescent="0.3">
      <c r="A13" s="2" t="s">
        <v>26</v>
      </c>
      <c r="B13" s="2" t="s">
        <v>27</v>
      </c>
      <c r="C13" s="3">
        <v>44586</v>
      </c>
      <c r="D13" s="5">
        <f t="shared" ca="1" si="0"/>
        <v>46292</v>
      </c>
      <c r="E13">
        <f t="shared" ca="1" si="1"/>
        <v>4</v>
      </c>
      <c r="F13">
        <f t="shared" ca="1" si="2"/>
        <v>56</v>
      </c>
      <c r="G13">
        <f t="shared" ca="1" si="7"/>
        <v>1706</v>
      </c>
      <c r="H13" s="3">
        <v>46174</v>
      </c>
      <c r="I13" s="3">
        <v>46295</v>
      </c>
      <c r="J13">
        <f t="shared" si="3"/>
        <v>88</v>
      </c>
      <c r="K13">
        <f t="shared" si="4"/>
        <v>44600</v>
      </c>
      <c r="L13">
        <f t="shared" si="5"/>
        <v>44767</v>
      </c>
      <c r="M13">
        <f t="shared" si="6"/>
        <v>44592</v>
      </c>
    </row>
    <row r="14" spans="1:13" ht="28.8" x14ac:dyDescent="0.3">
      <c r="A14" s="2" t="s">
        <v>28</v>
      </c>
      <c r="B14" s="2" t="s">
        <v>29</v>
      </c>
      <c r="C14" s="3">
        <v>44587</v>
      </c>
      <c r="D14" s="5">
        <f t="shared" ca="1" si="0"/>
        <v>46292</v>
      </c>
      <c r="E14">
        <f t="shared" ca="1" si="1"/>
        <v>4</v>
      </c>
      <c r="F14">
        <f t="shared" ca="1" si="2"/>
        <v>56</v>
      </c>
      <c r="G14">
        <f t="shared" ca="1" si="7"/>
        <v>1705</v>
      </c>
      <c r="H14" s="3">
        <v>46188</v>
      </c>
      <c r="I14" s="3">
        <v>46310</v>
      </c>
      <c r="J14">
        <f t="shared" si="3"/>
        <v>89</v>
      </c>
      <c r="K14">
        <f t="shared" si="4"/>
        <v>44601</v>
      </c>
      <c r="L14">
        <f t="shared" si="5"/>
        <v>44768</v>
      </c>
      <c r="M14">
        <f t="shared" si="6"/>
        <v>44592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EBF9-E0DE-48DE-8F8F-1062BAC40C82}">
  <dimension ref="A1:O27"/>
  <sheetViews>
    <sheetView topLeftCell="A2" zoomScale="77" zoomScaleNormal="100" workbookViewId="0">
      <selection activeCell="E21" sqref="E21"/>
    </sheetView>
  </sheetViews>
  <sheetFormatPr defaultRowHeight="14.4" x14ac:dyDescent="0.3"/>
  <cols>
    <col min="1" max="1" width="10.88671875" customWidth="1"/>
    <col min="2" max="2" width="12.21875" customWidth="1"/>
    <col min="3" max="3" width="9" bestFit="1" customWidth="1"/>
    <col min="6" max="6" width="14.21875" customWidth="1"/>
    <col min="7" max="7" width="12.88671875" customWidth="1"/>
    <col min="8" max="8" width="13.77734375" customWidth="1"/>
    <col min="9" max="9" width="9.33203125" bestFit="1" customWidth="1"/>
    <col min="11" max="11" width="12.77734375" customWidth="1"/>
    <col min="12" max="12" width="11.6640625" bestFit="1" customWidth="1"/>
    <col min="13" max="13" width="17.109375" customWidth="1"/>
    <col min="14" max="14" width="11.5546875" bestFit="1" customWidth="1"/>
    <col min="15" max="15" width="16.88671875" customWidth="1"/>
    <col min="18" max="18" width="11.5546875" customWidth="1"/>
  </cols>
  <sheetData>
    <row r="1" spans="1:15" ht="24" customHeight="1" x14ac:dyDescent="0.4">
      <c r="A1" s="6"/>
      <c r="B1" s="7"/>
      <c r="C1" s="7"/>
      <c r="D1" s="7"/>
      <c r="E1" s="7"/>
      <c r="I1" s="9" t="s">
        <v>84</v>
      </c>
    </row>
    <row r="2" spans="1:15" ht="21" x14ac:dyDescent="0.4">
      <c r="A2" s="1"/>
      <c r="B2" s="9" t="s">
        <v>76</v>
      </c>
      <c r="G2" s="9" t="s">
        <v>46</v>
      </c>
      <c r="K2" s="9" t="s">
        <v>54</v>
      </c>
      <c r="N2" s="9" t="s">
        <v>61</v>
      </c>
    </row>
    <row r="3" spans="1:15" ht="14.4" customHeight="1" x14ac:dyDescent="0.3">
      <c r="A3" s="2"/>
      <c r="B3" s="2" t="s">
        <v>47</v>
      </c>
      <c r="C3" s="2" t="s">
        <v>48</v>
      </c>
      <c r="F3" s="1"/>
      <c r="G3" s="2" t="s">
        <v>47</v>
      </c>
      <c r="H3" s="2" t="s">
        <v>48</v>
      </c>
      <c r="K3" s="2" t="s">
        <v>47</v>
      </c>
      <c r="L3" s="2" t="s">
        <v>48</v>
      </c>
      <c r="N3" s="2" t="s">
        <v>31</v>
      </c>
      <c r="O3" s="2" t="s">
        <v>62</v>
      </c>
    </row>
    <row r="4" spans="1:15" ht="14.4" customHeight="1" x14ac:dyDescent="0.3">
      <c r="A4" s="2"/>
      <c r="B4" s="2" t="s">
        <v>77</v>
      </c>
      <c r="C4" s="2">
        <f ca="1">AVERAGE('Date_ Calculations'!E3:E14)</f>
        <v>4</v>
      </c>
      <c r="G4" s="2" t="s">
        <v>49</v>
      </c>
      <c r="H4">
        <f>COUNT('Date_ Calculations'!C3:C14)</f>
        <v>12</v>
      </c>
      <c r="K4" s="2" t="s">
        <v>55</v>
      </c>
      <c r="L4" s="2">
        <f>COUNT('Date_ Calculations'!H3:H14)</f>
        <v>12</v>
      </c>
      <c r="N4" s="2" t="s">
        <v>63</v>
      </c>
      <c r="O4" s="2">
        <v>1</v>
      </c>
    </row>
    <row r="5" spans="1:15" ht="39.6" customHeight="1" x14ac:dyDescent="0.3">
      <c r="A5" s="2"/>
      <c r="B5" s="2" t="s">
        <v>78</v>
      </c>
      <c r="C5" s="2">
        <f ca="1">MAX('Date_ Calculations'!E3:E14)</f>
        <v>4</v>
      </c>
      <c r="G5" s="2" t="s">
        <v>50</v>
      </c>
      <c r="H5" s="10">
        <f>MIN('Date_ Calculations'!C3:C14)</f>
        <v>44576</v>
      </c>
      <c r="K5" s="2" t="s">
        <v>56</v>
      </c>
      <c r="L5" s="3">
        <f>MIN('Date_ Calculations'!H3:H14)</f>
        <v>46023</v>
      </c>
      <c r="N5" s="2" t="s">
        <v>64</v>
      </c>
      <c r="O5" s="2">
        <v>1</v>
      </c>
    </row>
    <row r="6" spans="1:15" ht="42" customHeight="1" x14ac:dyDescent="0.3">
      <c r="A6" s="2"/>
      <c r="B6" s="2" t="s">
        <v>79</v>
      </c>
      <c r="C6" s="2">
        <f ca="1">MIN('Date_ Calculations'!E3:E14)</f>
        <v>4</v>
      </c>
      <c r="G6" s="2" t="s">
        <v>51</v>
      </c>
      <c r="H6" s="3">
        <f>MAX('Date_ Calculations'!C3:C14)</f>
        <v>44587</v>
      </c>
      <c r="K6" s="2" t="s">
        <v>57</v>
      </c>
      <c r="L6" s="3">
        <f>MAX('Date_ Calculations'!I3:I14)</f>
        <v>46310</v>
      </c>
      <c r="N6" s="2" t="s">
        <v>65</v>
      </c>
      <c r="O6" s="2">
        <v>1</v>
      </c>
    </row>
    <row r="7" spans="1:15" ht="34.799999999999997" customHeight="1" x14ac:dyDescent="0.3">
      <c r="A7" s="2"/>
      <c r="B7" s="2" t="s">
        <v>80</v>
      </c>
      <c r="C7" s="2">
        <f>AVERAGE('Date_ Calculations'!K3:K14)</f>
        <v>44595</v>
      </c>
      <c r="G7" s="2" t="s">
        <v>52</v>
      </c>
      <c r="H7" s="3">
        <f>MIN(Raw_data!D3:D14)</f>
        <v>35829</v>
      </c>
      <c r="K7" s="2" t="s">
        <v>58</v>
      </c>
      <c r="L7" s="2">
        <f>AVERAGE('Date_ Calculations'!J3:J14)</f>
        <v>80.666666666666671</v>
      </c>
      <c r="N7" s="2" t="s">
        <v>66</v>
      </c>
      <c r="O7" s="2">
        <v>1</v>
      </c>
    </row>
    <row r="8" spans="1:15" ht="29.4" customHeight="1" x14ac:dyDescent="0.3">
      <c r="G8" s="2" t="s">
        <v>53</v>
      </c>
      <c r="H8" s="3">
        <f>MAX(Raw_data!D3:D14)</f>
        <v>37479</v>
      </c>
      <c r="K8" s="2" t="s">
        <v>59</v>
      </c>
      <c r="L8" s="2">
        <f>SUM('Date_ Calculations'!J3:J14)</f>
        <v>968</v>
      </c>
      <c r="N8" s="2" t="s">
        <v>67</v>
      </c>
      <c r="O8" s="2">
        <v>1</v>
      </c>
    </row>
    <row r="9" spans="1:15" ht="43.8" customHeight="1" x14ac:dyDescent="0.3">
      <c r="K9" s="2" t="s">
        <v>60</v>
      </c>
      <c r="L9" s="2">
        <f>SUM('Date_ Calculations'!K3:K14)</f>
        <v>535140</v>
      </c>
      <c r="N9" s="2" t="s">
        <v>68</v>
      </c>
      <c r="O9" s="2">
        <v>1</v>
      </c>
    </row>
    <row r="10" spans="1:15" x14ac:dyDescent="0.3">
      <c r="N10" s="2" t="s">
        <v>69</v>
      </c>
      <c r="O10" s="2">
        <v>1</v>
      </c>
    </row>
    <row r="11" spans="1:15" x14ac:dyDescent="0.3">
      <c r="N11" s="2" t="s">
        <v>70</v>
      </c>
      <c r="O11" s="2">
        <v>1</v>
      </c>
    </row>
    <row r="12" spans="1:15" x14ac:dyDescent="0.3">
      <c r="N12" s="2" t="s">
        <v>71</v>
      </c>
      <c r="O12" s="2">
        <v>1</v>
      </c>
    </row>
    <row r="13" spans="1:15" x14ac:dyDescent="0.3">
      <c r="N13" s="2" t="s">
        <v>72</v>
      </c>
      <c r="O13" s="2">
        <v>1</v>
      </c>
    </row>
    <row r="14" spans="1:15" x14ac:dyDescent="0.3">
      <c r="N14" s="2" t="s">
        <v>73</v>
      </c>
      <c r="O14" s="2">
        <v>1</v>
      </c>
    </row>
    <row r="15" spans="1:15" x14ac:dyDescent="0.3">
      <c r="N15" s="2" t="s">
        <v>74</v>
      </c>
      <c r="O15" s="2">
        <v>1</v>
      </c>
    </row>
    <row r="16" spans="1:15" x14ac:dyDescent="0.3">
      <c r="N16" s="2" t="s">
        <v>75</v>
      </c>
      <c r="O16" s="2">
        <v>1</v>
      </c>
    </row>
    <row r="21" spans="1:14" ht="21" x14ac:dyDescent="0.4">
      <c r="M21" s="9"/>
    </row>
    <row r="22" spans="1:14" x14ac:dyDescent="0.3">
      <c r="A22" s="8"/>
      <c r="M22" s="1"/>
      <c r="N22" s="1"/>
    </row>
    <row r="23" spans="1:14" x14ac:dyDescent="0.3">
      <c r="M23" s="2"/>
      <c r="N23" s="2"/>
    </row>
    <row r="24" spans="1:14" x14ac:dyDescent="0.3">
      <c r="M24" s="2"/>
      <c r="N24" s="2"/>
    </row>
    <row r="25" spans="1:14" x14ac:dyDescent="0.3">
      <c r="M25" s="2"/>
      <c r="N25" s="2"/>
    </row>
    <row r="26" spans="1:14" x14ac:dyDescent="0.3">
      <c r="M26" s="2"/>
      <c r="N26" s="2"/>
    </row>
    <row r="27" spans="1:14" x14ac:dyDescent="0.3">
      <c r="M27" s="2"/>
      <c r="N27" s="2"/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4C3D-D398-41BF-ABFA-4760239A326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Date_ Analysis</vt:lpstr>
      <vt:lpstr>Date_ Calculations</vt:lpstr>
      <vt:lpstr>Summary</vt:lpstr>
      <vt:lpstr>Last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yadav</dc:creator>
  <cp:lastModifiedBy>laxmi yadav</cp:lastModifiedBy>
  <dcterms:created xsi:type="dcterms:W3CDTF">2026-09-23T03:42:11Z</dcterms:created>
  <dcterms:modified xsi:type="dcterms:W3CDTF">2026-09-27T12:29:04Z</dcterms:modified>
</cp:coreProperties>
</file>